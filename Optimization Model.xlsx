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ta1111-my.sharepoint.com/personal/emilykokolrivera_apta_org/Documents/Other/Documents/"/>
    </mc:Choice>
  </mc:AlternateContent>
  <xr:revisionPtr revIDLastSave="0" documentId="8_{C051B04C-F892-4C63-9B52-1802A31407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SelectionModel" sheetId="2" r:id="rId1"/>
    <sheet name="OrigData" sheetId="1" r:id="rId2"/>
  </sheets>
  <definedNames>
    <definedName name="solver_adj" localSheetId="0" hidden="1">ProjectSelectionModel!$C$3:$C$12</definedName>
    <definedName name="solver_cvg" localSheetId="0" hidden="1">0.0001</definedName>
    <definedName name="solver_drv" localSheetId="0" hidden="1">1</definedName>
    <definedName name="solver_eng" localSheetId="1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ProjectSelectionModel!$K$9</definedName>
    <definedName name="solver_lhs2" localSheetId="0" hidden="1">ProjectSelectionModel!$K$8</definedName>
    <definedName name="solver_lhs3" localSheetId="0" hidden="1">ProjectSelectionModel!$C$3:$C$12</definedName>
    <definedName name="solver_lhs4" localSheetId="0" hidden="1">ProjectSelectionModel!$C$3:$C$12</definedName>
    <definedName name="solver_lhs5" localSheetId="0" hidden="1">ProjectSelectionModel!$C$3:$C$12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0" hidden="1">2147483647</definedName>
    <definedName name="solver_num" localSheetId="1" hidden="1">0</definedName>
    <definedName name="solver_num" localSheetId="0" hidden="1">5</definedName>
    <definedName name="solver_nwt" localSheetId="0" hidden="1">1</definedName>
    <definedName name="solver_opt" localSheetId="1" hidden="1">OrigData!$G$1</definedName>
    <definedName name="solver_opt" localSheetId="0" hidden="1">ProjectSelectionModel!$K$10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4</definedName>
    <definedName name="solver_rel5" localSheetId="0" hidden="1">3</definedName>
    <definedName name="solver_rhs1" localSheetId="0" hidden="1">ProjectSelectionModel!$K$4</definedName>
    <definedName name="solver_rhs2" localSheetId="0" hidden="1">ProjectSelectionModel!$K$3</definedName>
    <definedName name="solver_rhs3" localSheetId="0" hidden="1">1</definedName>
    <definedName name="solver_rhs4" localSheetId="0" hidden="1">"integer"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M11" i="2"/>
  <c r="M10" i="2" a="1"/>
  <c r="M10" i="2" s="1"/>
  <c r="M9" i="2" a="1"/>
  <c r="M9" i="2" s="1"/>
  <c r="M8" i="2" a="1"/>
  <c r="M8" i="2"/>
  <c r="M5" i="2"/>
  <c r="H5" i="2"/>
  <c r="H6" i="2"/>
  <c r="G7" i="2"/>
  <c r="E4" i="2"/>
  <c r="F4" i="2"/>
  <c r="H4" i="2" s="1"/>
  <c r="E5" i="2"/>
  <c r="F5" i="2"/>
  <c r="E6" i="2"/>
  <c r="F6" i="2"/>
  <c r="E7" i="2"/>
  <c r="F7" i="2"/>
  <c r="H7" i="2" s="1"/>
  <c r="E8" i="2"/>
  <c r="F8" i="2"/>
  <c r="H8" i="2" s="1"/>
  <c r="E9" i="2"/>
  <c r="F9" i="2"/>
  <c r="H9" i="2" s="1"/>
  <c r="E10" i="2"/>
  <c r="F10" i="2"/>
  <c r="H10" i="2" s="1"/>
  <c r="E11" i="2"/>
  <c r="F11" i="2"/>
  <c r="H11" i="2" s="1"/>
  <c r="E12" i="2"/>
  <c r="F12" i="2"/>
  <c r="H12" i="2" s="1"/>
  <c r="D4" i="2"/>
  <c r="D5" i="2"/>
  <c r="G5" i="2" s="1"/>
  <c r="D6" i="2"/>
  <c r="G6" i="2" s="1"/>
  <c r="D7" i="2"/>
  <c r="D8" i="2"/>
  <c r="G8" i="2" s="1"/>
  <c r="D9" i="2"/>
  <c r="D10" i="2"/>
  <c r="D11" i="2"/>
  <c r="D12" i="2"/>
  <c r="G12" i="2" s="1"/>
  <c r="F3" i="2"/>
  <c r="H3" i="2" s="1"/>
  <c r="E3" i="2"/>
  <c r="D3" i="2"/>
  <c r="G3" i="2" s="1"/>
  <c r="G11" i="2" l="1"/>
  <c r="G10" i="2"/>
  <c r="G9" i="2"/>
  <c r="G4" i="2"/>
  <c r="K10" i="2" a="1"/>
  <c r="K10" i="2" s="1"/>
  <c r="K8" i="2"/>
  <c r="M7" i="2" s="1"/>
  <c r="K9" i="2" a="1"/>
  <c r="K9" i="2" s="1"/>
  <c r="M6" i="2" s="1"/>
  <c r="K5" i="2" l="1"/>
  <c r="M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<sst xmlns="http://schemas.openxmlformats.org/spreadsheetml/2006/main" count="38" uniqueCount="26">
  <si>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Project</t>
  </si>
  <si>
    <t>Staff Hours Required</t>
  </si>
  <si>
    <t>Cost per Hour</t>
  </si>
  <si>
    <t>Profit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</si>
  <si>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</si>
  <si>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</si>
  <si>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</si>
  <si>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</si>
  <si>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</si>
  <si>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</si>
  <si>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</si>
  <si>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</si>
  <si>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</si>
  <si>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</si>
  <si>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Available Hours</t>
  </si>
  <si>
    <t>Budget</t>
  </si>
  <si>
    <t>Included (0/1)</t>
  </si>
  <si>
    <t>Hourly Cost ($)</t>
  </si>
  <si>
    <t>Projected Profit ($)</t>
  </si>
  <si>
    <t>Selected Cost ($)</t>
  </si>
  <si>
    <t>Selected Profit ($)</t>
  </si>
  <si>
    <t>Solver Result</t>
  </si>
  <si>
    <t>Total Staff Hours Used</t>
  </si>
  <si>
    <t>Total Labor Cost</t>
  </si>
  <si>
    <t>Total Profit from Selected Projects</t>
  </si>
  <si>
    <t>Load/Save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</si>
</sst>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262FF-570F-41C3-B728-70B69F9AD1FE}" name="ProjTbl" displayName="ProjTbl" ref="A1:D11" totalsRowShown="0" headerRowDxfId="2" headerRowBorderDxfId="3" tableBorderDxfId="4">
  <autoFilter ref="A1:D11" xr:uid="{93A262FF-570F-41C3-B728-70B69F9AD1FE}"/>
  <tableColumns count="4">
    <tableColumn id="1" xr3:uid="{5E3E4A22-916D-4879-A7FD-B58592997671}" name="Project"/>
    <tableColumn id="2" xr3:uid="{5063E3EF-93BC-4961-8A31-427E5CC8A121}" name="Staff Hours Required"/>
    <tableColumn id="3" xr3:uid="{13C19BFF-8C67-476C-9302-BBC847493442}" name="Cost per Hour"/>
    <tableColumn id="4" xr3:uid="{AD1CE971-4FF8-4F9B-964B-8E2527F0485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89C322-FF8B-4F04-B910-CCE9D03840C9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9251761397612235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02C4-2F57-46D4-B6C3-34F19D9C3139}">
  <sheetPr codeName="Sheet1"/>
  <dimension ref="B2:M12"/>
  <sheetViews>
    <sheetView showGridLines="0" tabSelected="1" workbookViewId="0">
      <pane ySplit="2" topLeftCell="A3" activePane="bottomLeft" state="frozen"/>
      <selection pane="bottomLeft" activeCell="F14" sqref="F14"/>
    </sheetView>
  </sheetViews>
  <sheetFormatPr defaultRowHeight="14.5"/>
  <cols>
    <col min="1" max="1" width="8.7265625" style="5"/>
    <col min="2" max="2" width="15.26953125" style="5" customWidth="1"/>
    <col min="3" max="8" width="12.81640625" style="5" customWidth="1"/>
    <col min="9" max="9" width="8.7265625" style="5"/>
    <col min="10" max="10" width="14.453125" style="5" customWidth="1"/>
    <col min="11" max="12" width="8.7265625" style="5"/>
    <col min="13" max="13" width="0" style="5" hidden="1" customWidth="1"/>
    <col min="14" max="16384" width="8.7265625" style="5"/>
  </cols>
  <sheetData>
    <row r="2" spans="2:13" ht="29.5" thickBot="1">
      <c r="B2" s="4" t="s">
        <v>0</v>
      </c>
      <c r="C2" s="4" t="s">
        <v>16</v>
      </c>
      <c r="D2" s="3" t="s">
        <v>1</v>
      </c>
      <c r="E2" s="3" t="s">
        <v>17</v>
      </c>
      <c r="F2" s="3" t="s">
        <v>18</v>
      </c>
      <c r="G2" s="3" t="s">
        <v>19</v>
      </c>
      <c r="H2" s="3" t="s">
        <v>20</v>
      </c>
      <c r="J2" s="23"/>
      <c r="K2" s="24"/>
    </row>
    <row r="3" spans="2:13">
      <c r="B3" s="9" t="s">
        <v>4</v>
      </c>
      <c r="C3" s="6">
        <v>1</v>
      </c>
      <c r="D3" s="7">
        <f>_xlfn.XLOOKUP(B3,ProjTbl[Project],ProjTbl[Staff Hours Required])</f>
        <v>314</v>
      </c>
      <c r="E3" s="7">
        <f>_xlfn.XLOOKUP(B3,ProjTbl[Project],ProjTbl[Cost per Hour])</f>
        <v>22</v>
      </c>
      <c r="F3" s="7">
        <f>_xlfn.XLOOKUP(B3,ProjTbl[Project],ProjTbl[Profit])</f>
        <v>29522</v>
      </c>
      <c r="G3" s="7">
        <f>C3*D3*E3</f>
        <v>6908</v>
      </c>
      <c r="H3" s="7">
        <f>C3*F3</f>
        <v>29522</v>
      </c>
      <c r="I3" s="2"/>
      <c r="J3" s="16" t="s">
        <v>14</v>
      </c>
      <c r="K3" s="17">
        <v>1500</v>
      </c>
      <c r="M3" s="22" t="s">
        <v>25</v>
      </c>
    </row>
    <row r="4" spans="2:13">
      <c r="B4" s="9" t="s">
        <v>5</v>
      </c>
      <c r="C4" s="6">
        <v>1</v>
      </c>
      <c r="D4" s="7">
        <f>_xlfn.XLOOKUP(B4,ProjTbl[Project],ProjTbl[Staff Hours Required])</f>
        <v>296</v>
      </c>
      <c r="E4" s="7">
        <f>_xlfn.XLOOKUP(B4,ProjTbl[Project],ProjTbl[Cost per Hour])</f>
        <v>29</v>
      </c>
      <c r="F4" s="7">
        <f>_xlfn.XLOOKUP(B4,ProjTbl[Project],ProjTbl[Profit])</f>
        <v>19095</v>
      </c>
      <c r="G4" s="7">
        <f t="shared" ref="G4:G12" si="0">C4*D4*E4</f>
        <v>8584</v>
      </c>
      <c r="H4" s="7">
        <f t="shared" ref="H4:H12" si="1">C4*F4</f>
        <v>19095</v>
      </c>
      <c r="I4" s="8"/>
      <c r="J4" s="18" t="s">
        <v>15</v>
      </c>
      <c r="K4" s="19">
        <v>200000</v>
      </c>
      <c r="M4" s="5">
        <f>MAX($K$10)</f>
        <v>144661</v>
      </c>
    </row>
    <row r="5" spans="2:13" ht="15" thickBot="1">
      <c r="B5" s="9" t="s">
        <v>6</v>
      </c>
      <c r="C5" s="6">
        <v>1</v>
      </c>
      <c r="D5" s="7">
        <f>_xlfn.XLOOKUP(B5,ProjTbl[Project],ProjTbl[Staff Hours Required])</f>
        <v>141</v>
      </c>
      <c r="E5" s="7">
        <f>_xlfn.XLOOKUP(B5,ProjTbl[Project],ProjTbl[Cost per Hour])</f>
        <v>48</v>
      </c>
      <c r="F5" s="7">
        <f>_xlfn.XLOOKUP(B5,ProjTbl[Project],ProjTbl[Profit])</f>
        <v>33047</v>
      </c>
      <c r="G5" s="7">
        <f t="shared" si="0"/>
        <v>6768</v>
      </c>
      <c r="H5" s="7">
        <f t="shared" si="1"/>
        <v>33047</v>
      </c>
      <c r="J5" s="20" t="s">
        <v>21</v>
      </c>
      <c r="K5" s="21">
        <f>K10</f>
        <v>144661</v>
      </c>
      <c r="M5" s="5">
        <f>COUNT($C$3:$C$12)</f>
        <v>10</v>
      </c>
    </row>
    <row r="6" spans="2:13">
      <c r="B6" s="9" t="s">
        <v>7</v>
      </c>
      <c r="C6" s="6">
        <v>1</v>
      </c>
      <c r="D6" s="7">
        <f>_xlfn.XLOOKUP(B6,ProjTbl[Project],ProjTbl[Staff Hours Required])</f>
        <v>152</v>
      </c>
      <c r="E6" s="7">
        <f>_xlfn.XLOOKUP(B6,ProjTbl[Project],ProjTbl[Cost per Hour])</f>
        <v>98</v>
      </c>
      <c r="F6" s="7">
        <f>_xlfn.XLOOKUP(B6,ProjTbl[Project],ProjTbl[Profit])</f>
        <v>30470</v>
      </c>
      <c r="G6" s="7">
        <f t="shared" si="0"/>
        <v>14896</v>
      </c>
      <c r="H6" s="7">
        <f t="shared" si="1"/>
        <v>30470</v>
      </c>
      <c r="M6" s="5" t="b">
        <f>$K$9&lt;=$K$4</f>
        <v>1</v>
      </c>
    </row>
    <row r="7" spans="2:13" ht="15" thickBot="1">
      <c r="B7" s="9" t="s">
        <v>8</v>
      </c>
      <c r="C7" s="6">
        <v>0</v>
      </c>
      <c r="D7" s="7">
        <f>_xlfn.XLOOKUP(B7,ProjTbl[Project],ProjTbl[Staff Hours Required])</f>
        <v>429</v>
      </c>
      <c r="E7" s="7">
        <f>_xlfn.XLOOKUP(B7,ProjTbl[Project],ProjTbl[Cost per Hour])</f>
        <v>54</v>
      </c>
      <c r="F7" s="7">
        <f>_xlfn.XLOOKUP(B7,ProjTbl[Project],ProjTbl[Profit])</f>
        <v>18531</v>
      </c>
      <c r="G7" s="7">
        <f t="shared" si="0"/>
        <v>0</v>
      </c>
      <c r="H7" s="7">
        <f t="shared" si="1"/>
        <v>0</v>
      </c>
      <c r="M7" s="5" t="b">
        <f>$K$8&lt;=$K$3</f>
        <v>1</v>
      </c>
    </row>
    <row r="8" spans="2:13" ht="29">
      <c r="B8" s="9" t="s">
        <v>9</v>
      </c>
      <c r="C8" s="6">
        <v>1</v>
      </c>
      <c r="D8" s="7">
        <f>_xlfn.XLOOKUP(B8,ProjTbl[Project],ProjTbl[Staff Hours Required])</f>
        <v>350</v>
      </c>
      <c r="E8" s="7">
        <f>_xlfn.XLOOKUP(B8,ProjTbl[Project],ProjTbl[Cost per Hour])</f>
        <v>25</v>
      </c>
      <c r="F8" s="7">
        <f>_xlfn.XLOOKUP(B8,ProjTbl[Project],ProjTbl[Profit])</f>
        <v>47038</v>
      </c>
      <c r="G8" s="7">
        <f t="shared" si="0"/>
        <v>8750</v>
      </c>
      <c r="H8" s="7">
        <f t="shared" si="1"/>
        <v>47038</v>
      </c>
      <c r="J8" s="10" t="s">
        <v>22</v>
      </c>
      <c r="K8" s="11">
        <f>SUMPRODUCT(C3:C12,D3:D12)</f>
        <v>1475</v>
      </c>
      <c r="M8" s="5" t="b">
        <f t="array" ref="M8">$C$3:$C$12&lt;=1</f>
        <v>1</v>
      </c>
    </row>
    <row r="9" spans="2:13">
      <c r="B9" s="9" t="s">
        <v>10</v>
      </c>
      <c r="C9" s="6">
        <v>0</v>
      </c>
      <c r="D9" s="7">
        <f>_xlfn.XLOOKUP(B9,ProjTbl[Project],ProjTbl[Staff Hours Required])</f>
        <v>394</v>
      </c>
      <c r="E9" s="7">
        <f>_xlfn.XLOOKUP(B9,ProjTbl[Project],ProjTbl[Cost per Hour])</f>
        <v>31</v>
      </c>
      <c r="F9" s="7">
        <f>_xlfn.XLOOKUP(B9,ProjTbl[Project],ProjTbl[Profit])</f>
        <v>32403</v>
      </c>
      <c r="G9" s="7">
        <f t="shared" si="0"/>
        <v>0</v>
      </c>
      <c r="H9" s="7">
        <f t="shared" si="1"/>
        <v>0</v>
      </c>
      <c r="J9" s="12" t="s">
        <v>23</v>
      </c>
      <c r="K9" s="13" cm="1">
        <f t="array" ref="K9">SUMPRODUCT(C3:C12,D3:D12*E3:E12)</f>
        <v>54342</v>
      </c>
      <c r="M9" s="5" t="b">
        <f t="array" ref="M9">$C$3:$C$12=INT($C$3:$C$12)</f>
        <v>1</v>
      </c>
    </row>
    <row r="10" spans="2:13" ht="44" thickBot="1">
      <c r="B10" s="9" t="s">
        <v>11</v>
      </c>
      <c r="C10" s="6">
        <v>0</v>
      </c>
      <c r="D10" s="7">
        <f>_xlfn.XLOOKUP(B10,ProjTbl[Project],ProjTbl[Staff Hours Required])</f>
        <v>477</v>
      </c>
      <c r="E10" s="7">
        <f>_xlfn.XLOOKUP(B10,ProjTbl[Project],ProjTbl[Cost per Hour])</f>
        <v>57</v>
      </c>
      <c r="F10" s="7">
        <f>_xlfn.XLOOKUP(B10,ProjTbl[Project],ProjTbl[Profit])</f>
        <v>39122</v>
      </c>
      <c r="G10" s="7">
        <f t="shared" si="0"/>
        <v>0</v>
      </c>
      <c r="H10" s="7">
        <f t="shared" si="1"/>
        <v>0</v>
      </c>
      <c r="J10" s="14" t="s">
        <v>24</v>
      </c>
      <c r="K10" s="15" cm="1">
        <f t="array" ref="K10">SUMPRODUCT(C3:C12,F3:F12) - SUMPRODUCT(C3:C12,D3:D12*E3:E12)</f>
        <v>144661</v>
      </c>
      <c r="M10" s="5" t="b">
        <f t="array" ref="M10">$C$3:$C$12&gt;=0</f>
        <v>1</v>
      </c>
    </row>
    <row r="11" spans="2:13">
      <c r="B11" s="9" t="s">
        <v>12</v>
      </c>
      <c r="C11" s="6">
        <v>0</v>
      </c>
      <c r="D11" s="7">
        <f>_xlfn.XLOOKUP(B11,ProjTbl[Project],ProjTbl[Staff Hours Required])</f>
        <v>370</v>
      </c>
      <c r="E11" s="7">
        <f>_xlfn.XLOOKUP(B11,ProjTbl[Project],ProjTbl[Cost per Hour])</f>
        <v>96</v>
      </c>
      <c r="F11" s="7">
        <f>_xlfn.XLOOKUP(B11,ProjTbl[Project],ProjTbl[Profit])</f>
        <v>26940</v>
      </c>
      <c r="G11" s="7">
        <f t="shared" si="0"/>
        <v>0</v>
      </c>
      <c r="H11" s="7">
        <f t="shared" si="1"/>
        <v>0</v>
      </c>
      <c r="M11" s="5">
        <f>{32767,32767,0.000001,0.01,TRUE,FALSE,TRUE,1,1,1,0.0001,TRUE}</f>
        <v>32767</v>
      </c>
    </row>
    <row r="12" spans="2:13">
      <c r="B12" s="9" t="s">
        <v>13</v>
      </c>
      <c r="C12" s="6">
        <v>1</v>
      </c>
      <c r="D12" s="7">
        <f>_xlfn.XLOOKUP(B12,ProjTbl[Project],ProjTbl[Staff Hours Required])</f>
        <v>222</v>
      </c>
      <c r="E12" s="7">
        <f>_xlfn.XLOOKUP(B12,ProjTbl[Project],ProjTbl[Cost per Hour])</f>
        <v>38</v>
      </c>
      <c r="F12" s="7">
        <f>_xlfn.XLOOKUP(B12,ProjTbl[Project],ProjTbl[Profit])</f>
        <v>39831</v>
      </c>
      <c r="G12" s="7">
        <f t="shared" si="0"/>
        <v>8436</v>
      </c>
      <c r="H12" s="7">
        <f t="shared" si="1"/>
        <v>39831</v>
      </c>
      <c r="M12" s="5">
        <f>{0,0,2,100,0,FALSE,TRUE,0.075,0,0,FALSE,30}</f>
        <v>0</v>
      </c>
    </row>
  </sheetData>
  <conditionalFormatting sqref="C3:C12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11"/>
  <sheetViews>
    <sheetView workbookViewId="0">
      <selection activeCell="G1" sqref="G1"/>
    </sheetView>
  </sheetViews>
  <sheetFormatPr defaultRowHeight="14.5"/>
  <cols>
    <col min="1" max="1" width="8.81640625" customWidth="1"/>
    <col min="2" max="2" width="20.1796875" customWidth="1"/>
    <col min="3" max="3" width="14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314</v>
      </c>
      <c r="C2">
        <v>22</v>
      </c>
      <c r="D2">
        <v>29522</v>
      </c>
    </row>
    <row r="3" spans="1:4">
      <c r="A3" t="s">
        <v>5</v>
      </c>
      <c r="B3">
        <v>296</v>
      </c>
      <c r="C3">
        <v>29</v>
      </c>
      <c r="D3">
        <v>19095</v>
      </c>
    </row>
    <row r="4" spans="1:4">
      <c r="A4" t="s">
        <v>6</v>
      </c>
      <c r="B4">
        <v>141</v>
      </c>
      <c r="C4">
        <v>48</v>
      </c>
      <c r="D4">
        <v>33047</v>
      </c>
    </row>
    <row r="5" spans="1:4">
      <c r="A5" t="s">
        <v>7</v>
      </c>
      <c r="B5">
        <v>152</v>
      </c>
      <c r="C5">
        <v>98</v>
      </c>
      <c r="D5">
        <v>30470</v>
      </c>
    </row>
    <row r="6" spans="1:4">
      <c r="A6" t="s">
        <v>8</v>
      </c>
      <c r="B6">
        <v>429</v>
      </c>
      <c r="C6">
        <v>54</v>
      </c>
      <c r="D6">
        <v>18531</v>
      </c>
    </row>
    <row r="7" spans="1:4">
      <c r="A7" t="s">
        <v>9</v>
      </c>
      <c r="B7">
        <v>350</v>
      </c>
      <c r="C7">
        <v>25</v>
      </c>
      <c r="D7">
        <v>47038</v>
      </c>
    </row>
    <row r="8" spans="1:4">
      <c r="A8" t="s">
        <v>10</v>
      </c>
      <c r="B8">
        <v>394</v>
      </c>
      <c r="C8">
        <v>31</v>
      </c>
      <c r="D8">
        <v>32403</v>
      </c>
    </row>
    <row r="9" spans="1:4">
      <c r="A9" t="s">
        <v>11</v>
      </c>
      <c r="B9">
        <v>477</v>
      </c>
      <c r="C9">
        <v>57</v>
      </c>
      <c r="D9">
        <v>39122</v>
      </c>
    </row>
    <row r="10" spans="1:4">
      <c r="A10" t="s">
        <v>12</v>
      </c>
      <c r="B10">
        <v>370</v>
      </c>
      <c r="C10">
        <v>96</v>
      </c>
      <c r="D10">
        <v>26940</v>
      </c>
    </row>
    <row r="11" spans="1:4">
      <c r="A11" t="s">
        <v>13</v>
      </c>
      <c r="B11">
        <v>222</v>
      </c>
      <c r="C11">
        <v>38</v>
      </c>
      <c r="D11">
        <v>39831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ProjectSelectionModel</vt:lpstr>
      <vt:lpstr>OrigData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Kokol-Rivera, Emily</dc:creator>
  <cp:keywords/>
  <dc:description/>
  <cp:lastModifiedBy>Emily Kokol-Rivera</cp:lastModifiedBy>
  <cp:revision/>
  <dcterms:created xsi:type="dcterms:W3CDTF">2025-10-06T15:15:33Z</dcterms:created>
  <dcterms:modified xsi:type="dcterms:W3CDTF">2025-10-25T14:18:02Z</dcterms:modified>
  <cp:category/>
  <cp:contentStatus/>
</cp:coreProperties>
</file>