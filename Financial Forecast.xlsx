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emilykokolrivera\Downloads\"/>
    </mc:Choice>
  </mc:AlternateContent>
  <xr:revisionPtr revIDLastSave="0" documentId="8_{B8B6A105-B192-4477-BD6A-8A321B01EF2F}" xr6:coauthVersionLast="47" xr6:coauthVersionMax="47" xr10:uidLastSave="{00000000-0000-0000-0000-000000000000}"/>
  <bookViews>
    <workbookView xWindow="-28920" yWindow="-8145" windowWidth="29040" windowHeight="15720" xr2:uid="{00000000-000D-0000-FFFF-FFFF00000000}"/>
  </bookViews>
  <sheets>
    <sheet name="FinForecast" sheetId="1" r:id="rId1"/>
  </sheets>
  <definedNames>
    <definedName name="CAPEX">FinForecast!$M$7:$M$7</definedName>
    <definedName name="DiscRate">FinForecast!$M$8:$M$8</definedName>
    <definedName name="ExpGrowth">FinForecast!$M$6:$M$6</definedName>
    <definedName name="RevGrowth">FinForecast!$M$5:$M$5</definedName>
    <definedName name="ScenarioSel">FinForecast!$P$9:$P$9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 a="1"/>
  <c r="O10" i="1" s="1"/>
  <c r="M7" i="1" a="1"/>
  <c r="M7" i="1" s="1"/>
  <c r="M6" i="1" a="1"/>
  <c r="M6" i="1" s="1"/>
  <c r="M5" i="1" a="1"/>
  <c r="M5" i="1" s="1"/>
  <c r="E4" i="1" a="1"/>
  <c r="E4" i="1" s="1"/>
  <c r="H5" i="1" l="1" a="1"/>
  <c r="H5" i="1" s="1"/>
  <c r="H6" i="1" a="1"/>
  <c r="H6" i="1" s="1"/>
  <c r="H7" i="1" a="1"/>
  <c r="H7" i="1" s="1"/>
  <c r="H8" i="1" a="1"/>
  <c r="H8" i="1" s="1"/>
  <c r="H4" i="1" a="1"/>
  <c r="H4" i="1" s="1"/>
  <c r="H9" i="1" a="1"/>
  <c r="H9" i="1" s="1"/>
  <c r="G5" i="1" a="1"/>
  <c r="G5" i="1" s="1"/>
  <c r="G4" i="1" a="1"/>
  <c r="G4" i="1" s="1"/>
  <c r="G6" i="1" a="1"/>
  <c r="G6" i="1" s="1"/>
  <c r="G9" i="1" a="1"/>
  <c r="G9" i="1" s="1"/>
  <c r="G7" i="1" a="1"/>
  <c r="G7" i="1" s="1"/>
  <c r="G8" i="1" a="1"/>
  <c r="G8" i="1" s="1"/>
  <c r="I8" i="1" s="1"/>
  <c r="I5" i="1" l="1"/>
  <c r="I6" i="1"/>
  <c r="I7" i="1"/>
  <c r="I9" i="1"/>
  <c r="J7" i="1" s="1" a="1"/>
  <c r="J7" i="1" s="1"/>
  <c r="I4" i="1"/>
  <c r="J4" i="1" s="1" a="1"/>
  <c r="J4" i="1" s="1"/>
  <c r="J6" i="1" a="1"/>
  <c r="J6" i="1" s="1"/>
  <c r="J5" i="1" a="1"/>
  <c r="J5" i="1" s="1"/>
  <c r="J9" i="1" l="1" a="1"/>
  <c r="J9" i="1" s="1"/>
  <c r="J8" i="1" a="1"/>
  <c r="J8" i="1" s="1"/>
  <c r="M10" i="1" a="1"/>
  <c r="M10" i="1" s="1"/>
  <c r="L16" i="1" s="1"/>
  <c r="M11" i="1"/>
  <c r="O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<sst xmlns="http://schemas.openxmlformats.org/spreadsheetml/2006/main" count="29" uniqueCount="22">
  <si>
    <t>Year</t>
  </si>
  <si>
    <t>Revenue</t>
  </si>
  <si>
    <t>Expenses</t>
  </si>
  <si>
    <t>CAPEX</t>
  </si>
  <si>
    <t>Net Cash Flow</t>
  </si>
  <si>
    <t>Forecast Revenue</t>
  </si>
  <si>
    <t>Forecast Expenses</t>
  </si>
  <si>
    <t>Forecast Net Cash Flow</t>
  </si>
  <si>
    <t>Cumulative Cash Flow</t>
  </si>
  <si>
    <t>Assumption</t>
  </si>
  <si>
    <t>Value</t>
  </si>
  <si>
    <t>Scenario</t>
  </si>
  <si>
    <t>Revenue Growth</t>
  </si>
  <si>
    <t>Expense Growth</t>
  </si>
  <si>
    <t>Base</t>
  </si>
  <si>
    <t>Best</t>
  </si>
  <si>
    <t>CAPEX (annual)</t>
  </si>
  <si>
    <t>Worst</t>
  </si>
  <si>
    <t>Discount Rate</t>
  </si>
  <si>
    <t>NPV</t>
  </si>
  <si>
    <t>IRR</t>
  </si>
  <si>
    <t>Financial Forecast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</si>
</sst>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9" fontId="0" fillId="0" borderId="0" xfId="0" applyNumberFormat="1"/>
    <xf numFmtId="9" fontId="0" fillId="0" borderId="2" xfId="0" applyNumberFormat="1" applyBorder="1"/>
    <xf numFmtId="10" fontId="0" fillId="0" borderId="2" xfId="0" applyNumberFormat="1" applyBorder="1"/>
    <xf numFmtId="8" fontId="0" fillId="0" borderId="0" xfId="0" applyNumberFormat="1"/>
    <xf numFmtId="0" fontId="1" fillId="0" borderId="0" xfId="0" applyFont="1" applyAlignment="1">
      <alignment horizontal="center" vertical="top"/>
    </xf>
    <xf numFmtId="8" fontId="0" fillId="0" borderId="2" xfId="0" applyNumberFormat="1" applyBorder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/>
    <xf numFmtId="0" fontId="3" fillId="0" borderId="2" xfId="0" applyFont="1" applyBorder="1"/>
    <xf numFmtId="0" fontId="4" fillId="0" borderId="1" xfId="0" applyFont="1" applyBorder="1" applyAlignment="1">
      <alignment horizontal="center" vertical="top"/>
    </xf>
    <xf numFmtId="10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8" fontId="0" fillId="2" borderId="8" xfId="0" applyNumberFormat="1" applyFill="1" applyBorder="1" applyAlignment="1">
      <alignment horizontal="center" vertical="center"/>
    </xf>
    <xf numFmtId="8" fontId="0" fillId="2" borderId="7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0" fillId="2" borderId="7" xfId="0" applyNumberFormat="1" applyFill="1" applyBorder="1" applyAlignment="1">
      <alignment horizontal="center" vertical="center"/>
    </xf>
    <xf numFmtId="0" fontId="0" fillId="0" borderId="9" xfId="0" applyBorder="1"/>
    <xf numFmtId="0" fontId="0" fillId="3" borderId="10" xfId="0" applyFill="1" applyBorder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64" formatCode="&quot;$&quot;#,##0.00"/>
      <alignment horizontal="center" vertical="center"/>
    </dxf>
    <dxf>
      <font>
        <b val="0"/>
      </font>
      <numFmt numFmtId="164" formatCode="&quot;$&quot;#,##0.00"/>
      <alignment horizontal="center" vertical="center"/>
    </dxf>
    <dxf>
      <numFmt numFmtId="164" formatCode="&quot;$&quot;#,##0.00"/>
      <alignment horizontal="center" vertical="center"/>
    </dxf>
    <dxf>
      <numFmt numFmtId="164" formatCode="&quot;$&quot;#,##0.00"/>
      <alignment horizontal="center" vertical="center"/>
    </dxf>
    <dxf>
      <numFmt numFmtId="164" formatCode="&quot;$&quot;#,##0.00"/>
      <alignment horizontal="center" vertical="center"/>
    </dxf>
    <dxf>
      <numFmt numFmtId="164" formatCode="&quot;$&quot;#,##0.00"/>
      <alignment horizontal="center" vertical="center"/>
    </dxf>
    <dxf>
      <numFmt numFmtId="164" formatCode="&quot;$&quot;#,##0.00"/>
      <alignment horizontal="center" vertical="center"/>
    </dxf>
    <dxf>
      <numFmt numFmtId="164" formatCode="&quot;$&quot;#,##0.00"/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alignment horizontal="center" vertical="center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FinForecast!$I$3</c:f>
              <c:strCache>
                <c:ptCount val="1"/>
                <c:pt idx="0">
                  <c:v>Forecast Net Cash Flow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numRef>
              <c:f>FinForecast!$B$4:$B$9</c:f>
              <c:numCache>
                <c:formatCode>General</c:formatCod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</c:numCache>
            </c:numRef>
          </c:cat>
          <c:val>
            <c:numRef>
              <c:f>FinForecast!$I$4:$I$9</c:f>
              <c:numCache>
                <c:formatCode>"$"#,##0.00</c:formatCode>
                <c:ptCount val="6"/>
                <c:pt idx="0">
                  <c:v>-200000</c:v>
                </c:pt>
                <c:pt idx="1">
                  <c:v>164885.6</c:v>
                </c:pt>
                <c:pt idx="2">
                  <c:v>-7622.2799999999988</c:v>
                </c:pt>
                <c:pt idx="3">
                  <c:v>228305.56</c:v>
                </c:pt>
                <c:pt idx="4">
                  <c:v>131089.03999999998</c:v>
                </c:pt>
                <c:pt idx="5">
                  <c:v>200456.68000000002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D-4DA2-9B79-29E29C96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49320"/>
        <c:axId val="583032840"/>
      </c:barChart>
      <c:catAx>
        <c:axId val="148954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32840"/>
        <c:crosses val="autoZero"/>
        <c:auto val="1"/>
        <c:lblAlgn val="ctr"/>
        <c:lblOffset val="100"/>
        <c:noMultiLvlLbl val="0"/>
      </c:catAx>
      <c:valAx>
        <c:axId val="5830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4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Cash Flow Over Time</a:t>
            </a:r>
          </a:p>
        </c:rich>
      </c:tx>
      <c:layout>
        <c:manualLayout>
          <c:xMode val="edge"/>
          <c:yMode val="edge"/>
          <c:x val="0.320131678677189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FinForecast!$J$3</c:f>
              <c:strCache>
                <c:ptCount val="1"/>
                <c:pt idx="0">
                  <c:v>Cumulative Cash Flow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numRef>
              <c:f>FinForecast!$B$4:$B$9</c:f>
              <c:numCache>
                <c:formatCode>General</c:formatCod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</c:numCache>
            </c:numRef>
          </c:cat>
          <c:val>
            <c:numRef>
              <c:f>FinForecast!$J$4:$J$9</c:f>
              <c:numCache>
                <c:formatCode>"$"#,##0.00</c:formatCode>
                <c:ptCount val="6"/>
                <c:pt idx="0">
                  <c:v>-200000</c:v>
                </c:pt>
                <c:pt idx="1">
                  <c:v>157263.32</c:v>
                </c:pt>
                <c:pt idx="2">
                  <c:v>351772.31999999995</c:v>
                </c:pt>
                <c:pt idx="3">
                  <c:v>559851.28</c:v>
                </c:pt>
                <c:pt idx="4">
                  <c:v>331545.71999999997</c:v>
                </c:pt>
                <c:pt idx="5">
                  <c:v>200456.68000000002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F9-4522-A1C0-0DFF6237B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989639"/>
        <c:axId val="266008071"/>
      </c:lineChart>
      <c:catAx>
        <c:axId val="26598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008071"/>
        <c:crossesAt val="0"/>
        <c:auto val="1"/>
        <c:lblAlgn val="ctr"/>
        <c:lblOffset val="100"/>
        <c:noMultiLvlLbl val="0"/>
      </c:catAx>
      <c:valAx>
        <c:axId val="26600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89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10</xdr:row>
      <xdr:rowOff>0</xdr:rowOff>
    </xdr:from>
    <xdr:to>
      <xdr:col>6</xdr:col>
      <xdr:colOff>638175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5400FD-A9E4-5766-F14D-56887D3E4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1200150</xdr:colOff>
      <xdr:row>9</xdr:row>
      <xdr:rowOff>180975</xdr:rowOff>
    </xdr:from>
    <xdr:to>
      <xdr:col>9</xdr:col>
      <xdr:colOff>1524000</xdr:colOff>
      <xdr:row>24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D118CF-5B45-CDDD-4E60-51B93615BCCD}"/>
            </a:ext>
            <a:ext uri="{147F2762-F138-4A5C-976F-8EAC2B608ADB}">
              <a16:predDERef xmlns:a16="http://schemas.microsoft.com/office/drawing/2014/main" pred="{D65400FD-A9E4-5766-F14D-56887D3E4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3484A-8045-4980-A574-8BAF58CA7E85}" name="FinTbl" displayName="FinTbl" ref="B3:J9" totalsRowShown="0" headerRowDxfId="16" dataDxfId="14" headerRowBorderDxfId="15" tableBorderDxfId="13">
  <autoFilter ref="B3:J9" xr:uid="{5193484A-8045-4980-A574-8BAF58CA7E85}"/>
  <tableColumns count="9">
    <tableColumn id="1" xr3:uid="{C22EBFBC-5F4D-4591-82A2-7E26935B1618}" name="Year" dataDxfId="12"/>
    <tableColumn id="2" xr3:uid="{FB3CA6C9-B078-4C5E-BB34-0C8FBBB912D7}" name="Revenue" dataDxfId="11"/>
    <tableColumn id="3" xr3:uid="{7411AAE2-93CA-41FD-9D28-5030255FAC33}" name="Expenses" dataDxfId="10"/>
    <tableColumn id="4" xr3:uid="{86401FF9-64BB-4B06-AA7A-9349AC249DD8}" name="CAPEX" dataDxfId="9"/>
    <tableColumn id="5" xr3:uid="{4E2BD1C1-C71C-423E-81B7-31F0240B5424}" name="Net Cash Flow" dataDxfId="8"/>
    <tableColumn id="6" xr3:uid="{ECF08D0C-254F-4884-8877-E6995D8B2380}" name="Forecast Revenue" dataDxfId="7">
      <calculatedColumnFormula array="1">FinTbl[[#This Row],[Revenue]]*(1+RevGrowth)</calculatedColumnFormula>
    </tableColumn>
    <tableColumn id="7" xr3:uid="{FB883629-EE24-42DA-85F8-48CCA23D8F9A}" name="Forecast Expenses" dataDxfId="6">
      <calculatedColumnFormula array="1">FinTbl[[#This Row],[Expenses]]*(1+ExpGrowth)</calculatedColumnFormula>
    </tableColumn>
    <tableColumn id="8" xr3:uid="{30A329AF-609F-4A38-A8B5-5F4173F93301}" name="Forecast Net Cash Flow" dataDxfId="5">
      <calculatedColumnFormula>FinTbl[[#This Row],[Forecast Revenue]]-FinTbl[[#This Row],[Forecast Expenses]]-FinTbl[[#This Row],[CAPEX]]</calculatedColumnFormula>
    </tableColumn>
    <tableColumn id="9" xr3:uid="{1031D02F-7F33-4AEB-88F1-6AB6CBE717EC}" name="Cumulative Cash Flow" dataDxfId="4">
      <calculatedColumnFormula array="1">SUM(OFFSET(FinTbl[[#This Row],[Forecast Net Cash Flow]],0,0,ROW()-ROW(FinTbl[#Headers])))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393D53-9452-4CEA-BE08-CE469B6A137A}" name="ScenarioTbl" displayName="ScenarioTbl" ref="O4:R7" totalsRowShown="0">
  <autoFilter ref="O4:R7" xr:uid="{50393D53-9452-4CEA-BE08-CE469B6A137A}"/>
  <tableColumns count="4">
    <tableColumn id="1" xr3:uid="{3F734629-B59F-4629-9A45-93DCE577A291}" name="Scenario"/>
    <tableColumn id="2" xr3:uid="{1CCED8D2-DD1C-473E-B8CC-07EC47E6715F}" name="Revenue Growth" dataDxfId="3"/>
    <tableColumn id="3" xr3:uid="{C733E060-637F-4DC8-BC0A-2E76875D06E7}" name="Expense Growth" dataDxfId="2"/>
    <tableColumn id="4" xr3:uid="{BFCA3C9D-43EC-4D7C-B2B0-7D7E37956026}" name="CAP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7"/>
  <sheetViews>
    <sheetView showGridLines="0" tabSelected="1" zoomScale="90" zoomScaleNormal="90" workbookViewId="0">
      <selection activeCell="N37" sqref="N37"/>
    </sheetView>
  </sheetViews>
  <sheetFormatPr defaultRowHeight="14.5" x14ac:dyDescent="0.35"/>
  <cols>
    <col min="3" max="5" width="12" bestFit="1" customWidth="1"/>
    <col min="6" max="6" width="16.26953125" bestFit="1" customWidth="1"/>
    <col min="7" max="7" width="19.26953125" bestFit="1" customWidth="1"/>
    <col min="8" max="8" width="19.81640625" bestFit="1" customWidth="1"/>
    <col min="9" max="9" width="24.54296875" bestFit="1" customWidth="1"/>
    <col min="10" max="10" width="24.54296875" customWidth="1"/>
    <col min="11" max="11" width="5.26953125" customWidth="1"/>
    <col min="12" max="12" width="15.26953125" bestFit="1" customWidth="1"/>
    <col min="13" max="13" width="13.26953125" customWidth="1"/>
    <col min="14" max="14" width="13.36328125" customWidth="1"/>
    <col min="15" max="15" width="11.26953125" bestFit="1" customWidth="1"/>
    <col min="16" max="16" width="16.54296875" customWidth="1"/>
    <col min="17" max="17" width="17.81640625" bestFit="1" customWidth="1"/>
    <col min="18" max="18" width="14.26953125" customWidth="1"/>
  </cols>
  <sheetData>
    <row r="2" spans="2:18" x14ac:dyDescent="0.35">
      <c r="C2" s="30" t="s">
        <v>21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2:18" x14ac:dyDescent="0.35">
      <c r="B3" s="13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5"/>
    </row>
    <row r="4" spans="2:18" x14ac:dyDescent="0.35">
      <c r="B4" s="7">
        <v>2024</v>
      </c>
      <c r="C4" s="8">
        <v>0</v>
      </c>
      <c r="D4" s="8">
        <v>0</v>
      </c>
      <c r="E4" s="8" cm="1">
        <f t="array" ref="E4">IF(FinTbl[[#This Row],[Year]]=2024,200000,CAPEX)</f>
        <v>200000</v>
      </c>
      <c r="F4" s="8">
        <v>-200000</v>
      </c>
      <c r="G4" s="8" cm="1">
        <f t="array" ref="G4">FinTbl[[#This Row],[Revenue]]*(1+RevGrowth)</f>
        <v>0</v>
      </c>
      <c r="H4" s="8" cm="1">
        <f t="array" ref="H4">FinTbl[[#This Row],[Expenses]]*(1+ExpGrowth)</f>
        <v>0</v>
      </c>
      <c r="I4" s="8">
        <f>FinTbl[[#This Row],[Forecast Revenue]]-FinTbl[[#This Row],[Forecast Expenses]]-FinTbl[[#This Row],[CAPEX]]</f>
        <v>-200000</v>
      </c>
      <c r="J4" s="8" cm="1">
        <f t="array" aca="1" ref="J4" ca="1">SUM(OFFSET(FinTbl[[#This Row],[Forecast Net Cash Flow]],0,0,ROW()-ROW(FinTbl[#Headers])))</f>
        <v>-200000</v>
      </c>
      <c r="K4" s="5"/>
      <c r="L4" s="12" t="s">
        <v>9</v>
      </c>
      <c r="M4" s="12" t="s">
        <v>10</v>
      </c>
      <c r="O4" t="s">
        <v>11</v>
      </c>
      <c r="P4" t="s">
        <v>12</v>
      </c>
      <c r="Q4" t="s">
        <v>13</v>
      </c>
      <c r="R4" t="s">
        <v>3</v>
      </c>
    </row>
    <row r="5" spans="2:18" x14ac:dyDescent="0.35">
      <c r="B5" s="9">
        <v>2025</v>
      </c>
      <c r="C5" s="10">
        <v>348929</v>
      </c>
      <c r="D5" s="10">
        <v>175318</v>
      </c>
      <c r="E5" s="10">
        <v>29627</v>
      </c>
      <c r="F5" s="10">
        <v>143984</v>
      </c>
      <c r="G5" s="10" cm="1">
        <f t="array" ref="G5">FinTbl[[#This Row],[Revenue]]*(1+RevGrowth)</f>
        <v>376843.32</v>
      </c>
      <c r="H5" s="10" cm="1">
        <f t="array" ref="H5">FinTbl[[#This Row],[Expenses]]*(1+ExpGrowth)</f>
        <v>182330.72</v>
      </c>
      <c r="I5" s="8">
        <f>FinTbl[[#This Row],[Forecast Revenue]]-FinTbl[[#This Row],[Forecast Expenses]]-FinTbl[[#This Row],[CAPEX]]</f>
        <v>164885.6</v>
      </c>
      <c r="J5" s="8" cm="1">
        <f t="array" aca="1" ref="J5" ca="1">SUM(OFFSET(FinTbl[[#This Row],[Forecast Net Cash Flow]],0,0,ROW()-ROW(FinTbl[#Headers])))</f>
        <v>157263.32</v>
      </c>
      <c r="L5" s="12" t="s">
        <v>12</v>
      </c>
      <c r="M5" s="2" cm="1">
        <f t="array" ref="M5">_xlfn.XLOOKUP(ScenarioSel, ScenarioTbl[Scenario], ScenarioTbl[Revenue Growth])</f>
        <v>0.08</v>
      </c>
      <c r="O5" t="s">
        <v>14</v>
      </c>
      <c r="P5" s="14">
        <v>0.05</v>
      </c>
      <c r="Q5" s="14">
        <v>0.03</v>
      </c>
      <c r="R5">
        <v>30000</v>
      </c>
    </row>
    <row r="6" spans="2:18" x14ac:dyDescent="0.35">
      <c r="B6" s="9">
        <v>2026</v>
      </c>
      <c r="C6" s="10">
        <v>219627</v>
      </c>
      <c r="D6" s="10">
        <v>204186</v>
      </c>
      <c r="E6" s="10">
        <v>32466</v>
      </c>
      <c r="F6" s="10">
        <v>-17025</v>
      </c>
      <c r="G6" s="10" cm="1">
        <f t="array" ref="G6">FinTbl[[#This Row],[Revenue]]*(1+RevGrowth)</f>
        <v>237197.16</v>
      </c>
      <c r="H6" s="10" cm="1">
        <f t="array" ref="H6">FinTbl[[#This Row],[Expenses]]*(1+ExpGrowth)</f>
        <v>212353.44</v>
      </c>
      <c r="I6" s="8">
        <f>FinTbl[[#This Row],[Forecast Revenue]]-FinTbl[[#This Row],[Forecast Expenses]]-FinTbl[[#This Row],[CAPEX]]</f>
        <v>-7622.2799999999988</v>
      </c>
      <c r="J6" s="8" cm="1">
        <f t="array" aca="1" ref="J6" ca="1">SUM(OFFSET(FinTbl[[#This Row],[Forecast Net Cash Flow]],0,0,ROW()-ROW(FinTbl[#Headers])))</f>
        <v>351772.31999999995</v>
      </c>
      <c r="L6" s="12" t="s">
        <v>13</v>
      </c>
      <c r="M6" s="2" cm="1">
        <f t="array" ref="M6">_xlfn.XLOOKUP(ScenarioSel, ScenarioTbl[Scenario], ScenarioTbl[Expense Growth])</f>
        <v>0.04</v>
      </c>
      <c r="O6" t="s">
        <v>15</v>
      </c>
      <c r="P6" s="14">
        <v>0.08</v>
      </c>
      <c r="Q6" s="14">
        <v>0.04</v>
      </c>
      <c r="R6">
        <v>25000</v>
      </c>
    </row>
    <row r="7" spans="2:18" x14ac:dyDescent="0.35">
      <c r="B7" s="9">
        <v>2027</v>
      </c>
      <c r="C7" s="10">
        <v>422633</v>
      </c>
      <c r="D7" s="10">
        <v>187902</v>
      </c>
      <c r="E7" s="10">
        <v>32720</v>
      </c>
      <c r="F7" s="10">
        <v>202011</v>
      </c>
      <c r="G7" s="10" cm="1">
        <f t="array" ref="G7">FinTbl[[#This Row],[Revenue]]*(1+RevGrowth)</f>
        <v>456443.64</v>
      </c>
      <c r="H7" s="10" cm="1">
        <f t="array" ref="H7">FinTbl[[#This Row],[Expenses]]*(1+ExpGrowth)</f>
        <v>195418.08000000002</v>
      </c>
      <c r="I7" s="8">
        <f>FinTbl[[#This Row],[Forecast Revenue]]-FinTbl[[#This Row],[Forecast Expenses]]-FinTbl[[#This Row],[CAPEX]]</f>
        <v>228305.56</v>
      </c>
      <c r="J7" s="8" cm="1">
        <f t="array" aca="1" ref="J7" ca="1">SUM(OFFSET(FinTbl[[#This Row],[Forecast Net Cash Flow]],0,0,ROW()-ROW(FinTbl[#Headers])))</f>
        <v>559851.28</v>
      </c>
      <c r="L7" s="12" t="s">
        <v>16</v>
      </c>
      <c r="M7" s="11" cm="1">
        <f t="array" ref="M7">_xlfn.XLOOKUP(ScenarioSel, ScenarioTbl[Scenario], ScenarioTbl[CAPEX])</f>
        <v>25000</v>
      </c>
      <c r="O7" t="s">
        <v>17</v>
      </c>
      <c r="P7" s="14">
        <v>0.02</v>
      </c>
      <c r="Q7" s="14">
        <v>0.02</v>
      </c>
      <c r="R7">
        <v>40000</v>
      </c>
    </row>
    <row r="8" spans="2:18" ht="15" thickBot="1" x14ac:dyDescent="0.4">
      <c r="B8" s="9">
        <v>2028</v>
      </c>
      <c r="C8" s="10">
        <v>424440</v>
      </c>
      <c r="D8" s="10">
        <v>259629</v>
      </c>
      <c r="E8" s="10">
        <v>57292</v>
      </c>
      <c r="F8" s="10">
        <v>107519</v>
      </c>
      <c r="G8" s="10" cm="1">
        <f t="array" ref="G8">FinTbl[[#This Row],[Revenue]]*(1+RevGrowth)</f>
        <v>458395.2</v>
      </c>
      <c r="H8" s="10" cm="1">
        <f t="array" ref="H8">FinTbl[[#This Row],[Expenses]]*(1+ExpGrowth)</f>
        <v>270014.16000000003</v>
      </c>
      <c r="I8" s="8">
        <f>FinTbl[[#This Row],[Forecast Revenue]]-FinTbl[[#This Row],[Forecast Expenses]]-FinTbl[[#This Row],[CAPEX]]</f>
        <v>131089.03999999998</v>
      </c>
      <c r="J8" s="8" cm="1">
        <f t="array" aca="1" ref="J8" ca="1">SUM(OFFSET(FinTbl[[#This Row],[Forecast Net Cash Flow]],0,0,ROW()-ROW(FinTbl[#Headers])))</f>
        <v>331545.71999999997</v>
      </c>
      <c r="L8" s="12" t="s">
        <v>18</v>
      </c>
      <c r="M8" s="3">
        <v>0.1</v>
      </c>
    </row>
    <row r="9" spans="2:18" ht="15" thickBot="1" x14ac:dyDescent="0.4">
      <c r="B9" s="9">
        <v>2029</v>
      </c>
      <c r="C9" s="10">
        <v>375188</v>
      </c>
      <c r="D9" s="10">
        <v>171334</v>
      </c>
      <c r="E9" s="10">
        <v>26559</v>
      </c>
      <c r="F9" s="10">
        <v>177295</v>
      </c>
      <c r="G9" s="10" cm="1">
        <f t="array" ref="G9">FinTbl[[#This Row],[Revenue]]*(1+RevGrowth)</f>
        <v>405203.04000000004</v>
      </c>
      <c r="H9" s="10" cm="1">
        <f t="array" ref="H9">FinTbl[[#This Row],[Expenses]]*(1+ExpGrowth)</f>
        <v>178187.36000000002</v>
      </c>
      <c r="I9" s="8">
        <f>FinTbl[[#This Row],[Forecast Revenue]]-FinTbl[[#This Row],[Forecast Expenses]]-FinTbl[[#This Row],[CAPEX]]</f>
        <v>200456.68000000002</v>
      </c>
      <c r="J9" s="8" cm="1">
        <f t="array" aca="1" ref="J9" ca="1">SUM(OFFSET(FinTbl[[#This Row],[Forecast Net Cash Flow]],0,0,ROW()-ROW(FinTbl[#Headers])))</f>
        <v>200456.68000000002</v>
      </c>
      <c r="O9" s="28" t="s">
        <v>11</v>
      </c>
      <c r="P9" s="29" t="s">
        <v>15</v>
      </c>
    </row>
    <row r="10" spans="2:18" x14ac:dyDescent="0.35">
      <c r="L10" s="12" t="s">
        <v>19</v>
      </c>
      <c r="M10" s="6" cm="1">
        <f t="array" ref="M10">NPV(DiscRate,FinTbl[Forecast Net Cash Flow])</f>
        <v>299208.49684543727</v>
      </c>
      <c r="O10" s="31" t="str" cm="1">
        <f t="array" ref="O10">"Current Scenario: "&amp;ScenarioSel</f>
        <v>Current Scenario: Best</v>
      </c>
    </row>
    <row r="11" spans="2:18" x14ac:dyDescent="0.35">
      <c r="L11" s="12" t="s">
        <v>20</v>
      </c>
      <c r="M11" s="2">
        <f>IRR(FinTbl[Forecast Net Cash Flow])</f>
        <v>0.58200582282928903</v>
      </c>
    </row>
    <row r="12" spans="2:18" x14ac:dyDescent="0.35">
      <c r="K12" s="4"/>
    </row>
    <row r="13" spans="2:18" ht="15" thickBot="1" x14ac:dyDescent="0.4">
      <c r="K13" s="1"/>
      <c r="N13" s="21"/>
      <c r="R13" s="19"/>
    </row>
    <row r="14" spans="2:18" x14ac:dyDescent="0.35">
      <c r="L14" s="25" t="s">
        <v>19</v>
      </c>
      <c r="M14" s="24"/>
      <c r="N14" s="20"/>
      <c r="O14" s="25" t="s">
        <v>20</v>
      </c>
      <c r="P14" s="24"/>
      <c r="R14" s="20"/>
    </row>
    <row r="15" spans="2:18" x14ac:dyDescent="0.35">
      <c r="L15" s="17"/>
      <c r="M15" s="18"/>
      <c r="N15" s="20"/>
      <c r="O15" s="15"/>
      <c r="P15" s="16"/>
      <c r="R15" s="19"/>
    </row>
    <row r="16" spans="2:18" ht="15" thickBot="1" x14ac:dyDescent="0.4">
      <c r="L16" s="23">
        <f>M10</f>
        <v>299208.49684543727</v>
      </c>
      <c r="M16" s="22"/>
      <c r="N16" s="20"/>
      <c r="O16" s="27">
        <f>M11</f>
        <v>0.58200582282928903</v>
      </c>
      <c r="P16" s="26"/>
      <c r="R16" s="20"/>
    </row>
    <row r="17" spans="14:18" x14ac:dyDescent="0.35">
      <c r="N17" s="21"/>
      <c r="R17" s="19"/>
    </row>
  </sheetData>
  <mergeCells count="5">
    <mergeCell ref="L16:M16"/>
    <mergeCell ref="L14:M14"/>
    <mergeCell ref="O14:P14"/>
    <mergeCell ref="O16:P16"/>
    <mergeCell ref="C2:R2"/>
  </mergeCells>
  <conditionalFormatting sqref="I4:J9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allowBlank="1" showInputMessage="1" showErrorMessage="1" sqref="P9" xr:uid="{EC9FC37C-4393-4C0D-BC3A-B73AE4BD1B95}">
      <formula1>$O$5:$O$7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FinForecast</vt:lpstr>
      <vt:lpstr>CAPEX</vt:lpstr>
      <vt:lpstr>DiscRate</vt:lpstr>
      <vt:lpstr>ExpGrowth</vt:lpstr>
      <vt:lpstr>RevGrowth</vt:lpstr>
      <vt:lpstr>ScenarioSel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Kokol-Rivera, Emily</dc:creator>
  <cp:keywords/>
  <dc:description/>
  <cp:lastModifiedBy>Emily Kokol-Rivera</cp:lastModifiedBy>
  <cp:revision/>
  <dcterms:created xsi:type="dcterms:W3CDTF">2025-10-06T15:15:10Z</dcterms:created>
  <dcterms:modified xsi:type="dcterms:W3CDTF">2025-10-22T14:12:56Z</dcterms:modified>
  <cp:category/>
  <cp:contentStatus/>
</cp:coreProperties>
</file>